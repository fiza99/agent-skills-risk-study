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ulnerabilities\agent-skills-risk-study\figures\"/>
    </mc:Choice>
  </mc:AlternateContent>
  <xr:revisionPtr revIDLastSave="0" documentId="13_ncr:1_{D885369F-71FC-4EFA-AA1A-B39D0A93B08A}" xr6:coauthVersionLast="36" xr6:coauthVersionMax="36" xr10:uidLastSave="{00000000-0000-0000-0000-000000000000}"/>
  <bookViews>
    <workbookView xWindow="240" yWindow="15" windowWidth="16095" windowHeight="9660" firstSheet="4" activeTab="7" xr2:uid="{00000000-000D-0000-FFFF-FFFF00000000}"/>
  </bookViews>
  <sheets>
    <sheet name="Overview" sheetId="1" r:id="rId1"/>
    <sheet name="Skills_per_Group" sheetId="2" r:id="rId2"/>
    <sheet name="Risk_Counts_by_Group" sheetId="3" r:id="rId3"/>
    <sheet name="Risk_Pct_by_Group" sheetId="4" r:id="rId4"/>
    <sheet name="Risk_Overall" sheetId="5" r:id="rId5"/>
    <sheet name="Sensitive_vs_Rest" sheetId="6" r:id="rId6"/>
    <sheet name="Distributions" sheetId="7" r:id="rId7"/>
    <sheet name="Safeguards_by_Group" sheetId="8" r:id="rId8"/>
  </sheets>
  <calcPr calcId="124519"/>
</workbook>
</file>

<file path=xl/sharedStrings.xml><?xml version="1.0" encoding="utf-8"?>
<sst xmlns="http://schemas.openxmlformats.org/spreadsheetml/2006/main" count="128" uniqueCount="53">
  <si>
    <t>AI agent skills: security &amp; privacy risks for vulnerable users (preliminary analysis)</t>
  </si>
  <si>
    <t>Study size</t>
  </si>
  <si>
    <t>Value</t>
  </si>
  <si>
    <t>Skill files analyzed</t>
  </si>
  <si>
    <t>Sensitive domains defined</t>
  </si>
  <si>
    <t>Sensitive domains found in the data</t>
  </si>
  <si>
    <t>Latent-exposure categories defined</t>
  </si>
  <si>
    <t>Latent-exposure categories found in the data</t>
  </si>
  <si>
    <t>Risky-capability types checked</t>
  </si>
  <si>
    <t>Risky-capability types found in the data</t>
  </si>
  <si>
    <t>Total risky-capability flags raised (all skills)</t>
  </si>
  <si>
    <t>Skill files with...</t>
  </si>
  <si>
    <t>Count</t>
  </si>
  <si>
    <t>% of all</t>
  </si>
  <si>
    <t>Notes and limitations</t>
  </si>
  <si>
    <t>All results come from keyword / regex matching on skill text. They are estimates of mentioned capabilities, not confirmed vulnerabilities.</t>
  </si>
  <si>
    <t>Many skills are developer reference documents that mention risky code without instructing an agent to run it (see code_ratio in Skill_Flags).</t>
  </si>
  <si>
    <t>A skill can belong to several groups, so group counts must not be added together.</t>
  </si>
  <si>
    <t>'No safeguard' means none of: confirm, consent, privacy, permission, warn, opt-in, redact, anonymize (and similar) appear in the text.</t>
  </si>
  <si>
    <t>Report manual-validation precision alongside these figures before citing them.</t>
  </si>
  <si>
    <t>Group</t>
  </si>
  <si>
    <t>Skill files</t>
  </si>
  <si>
    <t>% of all skills</t>
  </si>
  <si>
    <t>Latent: Personal data stores</t>
  </si>
  <si>
    <t>Latent: Credentials &amp; accounts</t>
  </si>
  <si>
    <t>Children &amp; education</t>
  </si>
  <si>
    <t>Latent: Device access</t>
  </si>
  <si>
    <t>Health</t>
  </si>
  <si>
    <t>Finance</t>
  </si>
  <si>
    <t>Vulnerable groups</t>
  </si>
  <si>
    <t>Personal identity</t>
  </si>
  <si>
    <t>Location</t>
  </si>
  <si>
    <t>Legal &amp; immigration</t>
  </si>
  <si>
    <t>Mental health</t>
  </si>
  <si>
    <t>Network calls</t>
  </si>
  <si>
    <t>Shell execution</t>
  </si>
  <si>
    <t>Broad file access</t>
  </si>
  <si>
    <t>Secrets / credentials</t>
  </si>
  <si>
    <t>Injection signs</t>
  </si>
  <si>
    <t>Any risk</t>
  </si>
  <si>
    <t>Risky, no safeguard</t>
  </si>
  <si>
    <t>Risky capability</t>
  </si>
  <si>
    <t>Any risky capability</t>
  </si>
  <si>
    <t>Risky, no safeguard wording</t>
  </si>
  <si>
    <t>Sensitive-domain skills</t>
  </si>
  <si>
    <t>No explicit domain</t>
  </si>
  <si>
    <t>In scope (domain or latent)</t>
  </si>
  <si>
    <t>Neither</t>
  </si>
  <si>
    <t>Sensitive domains per skill</t>
  </si>
  <si>
    <t>Risky capability types per skill</t>
  </si>
  <si>
    <t>Sensitive domain</t>
  </si>
  <si>
    <t>Personal-data access</t>
  </si>
  <si>
    <t>Privacy-relevant skills(sensitive domain or personal-data access)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</si>
</sst>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Skill files by category (n = 13,016)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Skill files</c:v>
          </c:tx>
          <c:spPr>
            <a:solidFill>
              <a:schemeClr val="accent1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Overview!$A$14:$A$18</c:f>
              <c:strCache>
                <c:ptCount val="5"/>
                <c:pt idx="0">
                  <c:v>Sensitive domain</c:v>
                </c:pt>
                <c:pt idx="1">
                  <c:v>Personal-data access</c:v>
                </c:pt>
                <c:pt idx="2">
                  <c:v>Privacy-relevant skills(sensitive domain or personal-data access)</c:v>
                </c:pt>
                <c:pt idx="3">
                  <c:v>Risky capability</c:v>
                </c:pt>
                <c:pt idx="4">
                  <c:v>Risky, no safeguard</c:v>
                </c:pt>
              </c:strCache>
            </c:strRef>
          </c:cat>
          <c:val>
            <c:numRef>
              <c:f>Overview!$B$14:$B$18</c:f>
              <c:numCache>
                <c:formatCode>General</c:formatCode>
                <c:ptCount val="5"/>
                <c:pt idx="0">
                  <c:v>3420</c:v>
                </c:pt>
                <c:pt idx="1">
                  <c:v>5854</c:v>
                </c:pt>
                <c:pt idx="2">
                  <c:v>7164</c:v>
                </c:pt>
                <c:pt idx="3">
                  <c:v>6083</c:v>
                </c:pt>
                <c:pt idx="4">
                  <c:v>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B-46AE-9B2C-7D4457589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Skill files per sensitive domain / latent-exposure group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Skill files</c:v>
          </c:tx>
          <c:spPr>
            <a:solidFill>
              <a:srgbClr val="54823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Skills_per_Group!$A$2:$A$12</c:f>
              <c:strCache>
                <c:ptCount val="11"/>
                <c:pt idx="0">
                  <c:v>Latent: Personal data stores</c:v>
                </c:pt>
                <c:pt idx="1">
                  <c:v>Latent: Credentials &amp; accounts</c:v>
                </c:pt>
                <c:pt idx="2">
                  <c:v>Children &amp; education</c:v>
                </c:pt>
                <c:pt idx="3">
                  <c:v>Latent: Device access</c:v>
                </c:pt>
                <c:pt idx="4">
                  <c:v>Health</c:v>
                </c:pt>
                <c:pt idx="5">
                  <c:v>Finance</c:v>
                </c:pt>
                <c:pt idx="6">
                  <c:v>Vulnerable groups</c:v>
                </c:pt>
                <c:pt idx="7">
                  <c:v>Personal identity</c:v>
                </c:pt>
                <c:pt idx="8">
                  <c:v>Location</c:v>
                </c:pt>
                <c:pt idx="9">
                  <c:v>Legal &amp; immigration</c:v>
                </c:pt>
                <c:pt idx="10">
                  <c:v>Mental health</c:v>
                </c:pt>
              </c:strCache>
            </c:strRef>
          </c:cat>
          <c:val>
            <c:numRef>
              <c:f>Skills_per_Group!$B$2:$B$12</c:f>
              <c:numCache>
                <c:formatCode>General</c:formatCode>
                <c:ptCount val="11"/>
                <c:pt idx="0">
                  <c:v>4134</c:v>
                </c:pt>
                <c:pt idx="1">
                  <c:v>2456</c:v>
                </c:pt>
                <c:pt idx="2">
                  <c:v>1389</c:v>
                </c:pt>
                <c:pt idx="3">
                  <c:v>1128</c:v>
                </c:pt>
                <c:pt idx="4">
                  <c:v>973</c:v>
                </c:pt>
                <c:pt idx="5">
                  <c:v>736</c:v>
                </c:pt>
                <c:pt idx="6">
                  <c:v>599</c:v>
                </c:pt>
                <c:pt idx="7">
                  <c:v>471</c:v>
                </c:pt>
                <c:pt idx="8">
                  <c:v>106</c:v>
                </c:pt>
                <c:pt idx="9">
                  <c:v>99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A-42FA-8DD3-995A99101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 of skill files with each risky capability, by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Risk_Counts_by_Group!$C$1</c:f>
              <c:strCache>
                <c:ptCount val="1"/>
                <c:pt idx="0">
                  <c:v>Network calls</c:v>
                </c:pt>
              </c:strCache>
            </c:strRef>
          </c:tx>
          <c:invertIfNegative val="0"/>
          <c:cat>
            <c:strRef>
              <c:f>Risk_Counts_by_Group!$A$2:$A$12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Risk_Counts_by_Group!$C$2:$C$12</c:f>
              <c:numCache>
                <c:formatCode>General</c:formatCode>
                <c:ptCount val="11"/>
                <c:pt idx="0">
                  <c:v>331</c:v>
                </c:pt>
                <c:pt idx="1">
                  <c:v>20</c:v>
                </c:pt>
                <c:pt idx="2">
                  <c:v>517</c:v>
                </c:pt>
                <c:pt idx="3">
                  <c:v>298</c:v>
                </c:pt>
                <c:pt idx="4">
                  <c:v>35</c:v>
                </c:pt>
                <c:pt idx="5">
                  <c:v>49</c:v>
                </c:pt>
                <c:pt idx="6">
                  <c:v>216</c:v>
                </c:pt>
                <c:pt idx="7">
                  <c:v>267</c:v>
                </c:pt>
                <c:pt idx="8">
                  <c:v>1522</c:v>
                </c:pt>
                <c:pt idx="9">
                  <c:v>1374</c:v>
                </c:pt>
                <c:pt idx="10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2-4201-AB26-D836335B24F3}"/>
            </c:ext>
          </c:extLst>
        </c:ser>
        <c:ser>
          <c:idx val="1"/>
          <c:order val="1"/>
          <c:tx>
            <c:strRef>
              <c:f>Risk_Counts_by_Group!$D$1</c:f>
              <c:strCache>
                <c:ptCount val="1"/>
                <c:pt idx="0">
                  <c:v>Shell execution</c:v>
                </c:pt>
              </c:strCache>
            </c:strRef>
          </c:tx>
          <c:invertIfNegative val="0"/>
          <c:cat>
            <c:strRef>
              <c:f>Risk_Counts_by_Group!$A$2:$A$12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Risk_Counts_by_Group!$D$2:$D$12</c:f>
              <c:numCache>
                <c:formatCode>General</c:formatCode>
                <c:ptCount val="11"/>
                <c:pt idx="0">
                  <c:v>53</c:v>
                </c:pt>
                <c:pt idx="1">
                  <c:v>2</c:v>
                </c:pt>
                <c:pt idx="2">
                  <c:v>119</c:v>
                </c:pt>
                <c:pt idx="3">
                  <c:v>36</c:v>
                </c:pt>
                <c:pt idx="4">
                  <c:v>7</c:v>
                </c:pt>
                <c:pt idx="5">
                  <c:v>12</c:v>
                </c:pt>
                <c:pt idx="6">
                  <c:v>30</c:v>
                </c:pt>
                <c:pt idx="7">
                  <c:v>61</c:v>
                </c:pt>
                <c:pt idx="8">
                  <c:v>223</c:v>
                </c:pt>
                <c:pt idx="9">
                  <c:v>188</c:v>
                </c:pt>
                <c:pt idx="1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2-4201-AB26-D836335B24F3}"/>
            </c:ext>
          </c:extLst>
        </c:ser>
        <c:ser>
          <c:idx val="2"/>
          <c:order val="2"/>
          <c:tx>
            <c:strRef>
              <c:f>Risk_Counts_by_Group!$E$1</c:f>
              <c:strCache>
                <c:ptCount val="1"/>
                <c:pt idx="0">
                  <c:v>Broad file access</c:v>
                </c:pt>
              </c:strCache>
            </c:strRef>
          </c:tx>
          <c:invertIfNegative val="0"/>
          <c:cat>
            <c:strRef>
              <c:f>Risk_Counts_by_Group!$A$2:$A$12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Risk_Counts_by_Group!$E$2:$E$12</c:f>
              <c:numCache>
                <c:formatCode>General</c:formatCode>
                <c:ptCount val="11"/>
                <c:pt idx="0">
                  <c:v>133</c:v>
                </c:pt>
                <c:pt idx="1">
                  <c:v>3</c:v>
                </c:pt>
                <c:pt idx="2">
                  <c:v>220</c:v>
                </c:pt>
                <c:pt idx="3">
                  <c:v>74</c:v>
                </c:pt>
                <c:pt idx="4">
                  <c:v>9</c:v>
                </c:pt>
                <c:pt idx="5">
                  <c:v>14</c:v>
                </c:pt>
                <c:pt idx="6">
                  <c:v>79</c:v>
                </c:pt>
                <c:pt idx="7">
                  <c:v>115</c:v>
                </c:pt>
                <c:pt idx="8">
                  <c:v>701</c:v>
                </c:pt>
                <c:pt idx="9">
                  <c:v>523</c:v>
                </c:pt>
                <c:pt idx="10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2-4201-AB26-D836335B24F3}"/>
            </c:ext>
          </c:extLst>
        </c:ser>
        <c:ser>
          <c:idx val="3"/>
          <c:order val="3"/>
          <c:tx>
            <c:strRef>
              <c:f>Risk_Counts_by_Group!$F$1</c:f>
              <c:strCache>
                <c:ptCount val="1"/>
                <c:pt idx="0">
                  <c:v>Secrets / credentials</c:v>
                </c:pt>
              </c:strCache>
            </c:strRef>
          </c:tx>
          <c:invertIfNegative val="0"/>
          <c:cat>
            <c:strRef>
              <c:f>Risk_Counts_by_Group!$A$2:$A$12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Risk_Counts_by_Group!$F$2:$F$12</c:f>
              <c:numCache>
                <c:formatCode>General</c:formatCode>
                <c:ptCount val="11"/>
                <c:pt idx="0">
                  <c:v>248</c:v>
                </c:pt>
                <c:pt idx="1">
                  <c:v>13</c:v>
                </c:pt>
                <c:pt idx="2">
                  <c:v>339</c:v>
                </c:pt>
                <c:pt idx="3">
                  <c:v>268</c:v>
                </c:pt>
                <c:pt idx="4">
                  <c:v>24</c:v>
                </c:pt>
                <c:pt idx="5">
                  <c:v>32</c:v>
                </c:pt>
                <c:pt idx="6">
                  <c:v>263</c:v>
                </c:pt>
                <c:pt idx="7">
                  <c:v>222</c:v>
                </c:pt>
                <c:pt idx="8">
                  <c:v>1147</c:v>
                </c:pt>
                <c:pt idx="9">
                  <c:v>1458</c:v>
                </c:pt>
                <c:pt idx="10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22-4201-AB26-D836335B24F3}"/>
            </c:ext>
          </c:extLst>
        </c:ser>
        <c:ser>
          <c:idx val="4"/>
          <c:order val="4"/>
          <c:tx>
            <c:strRef>
              <c:f>Risk_Counts_by_Group!$G$1</c:f>
              <c:strCache>
                <c:ptCount val="1"/>
                <c:pt idx="0">
                  <c:v>Injection signs</c:v>
                </c:pt>
              </c:strCache>
            </c:strRef>
          </c:tx>
          <c:invertIfNegative val="0"/>
          <c:cat>
            <c:strRef>
              <c:f>Risk_Counts_by_Group!$A$2:$A$12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Risk_Counts_by_Group!$G$2:$G$12</c:f>
              <c:numCache>
                <c:formatCode>General</c:formatCode>
                <c:ptCount val="11"/>
                <c:pt idx="0">
                  <c:v>172</c:v>
                </c:pt>
                <c:pt idx="1">
                  <c:v>7</c:v>
                </c:pt>
                <c:pt idx="2">
                  <c:v>281</c:v>
                </c:pt>
                <c:pt idx="3">
                  <c:v>101</c:v>
                </c:pt>
                <c:pt idx="4">
                  <c:v>8</c:v>
                </c:pt>
                <c:pt idx="5">
                  <c:v>19</c:v>
                </c:pt>
                <c:pt idx="6">
                  <c:v>67</c:v>
                </c:pt>
                <c:pt idx="7">
                  <c:v>101</c:v>
                </c:pt>
                <c:pt idx="8">
                  <c:v>624</c:v>
                </c:pt>
                <c:pt idx="9">
                  <c:v>350</c:v>
                </c:pt>
                <c:pt idx="1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22-4201-AB26-D836335B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Sensitive domain / latent group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skill files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of skill files with each risky capability, by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Risk_Pct_by_Group!$C$1</c:f>
              <c:strCache>
                <c:ptCount val="1"/>
                <c:pt idx="0">
                  <c:v>Network calls</c:v>
                </c:pt>
              </c:strCache>
            </c:strRef>
          </c:tx>
          <c:invertIfNegative val="0"/>
          <c:cat>
            <c:strRef>
              <c:f>Risk_Pct_by_Group!$A$2:$A$12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Risk_Pct_by_Group!$C$2:$C$12</c:f>
              <c:numCache>
                <c:formatCode>General</c:formatCode>
                <c:ptCount val="11"/>
                <c:pt idx="0">
                  <c:v>34</c:v>
                </c:pt>
                <c:pt idx="1">
                  <c:v>28.6</c:v>
                </c:pt>
                <c:pt idx="2">
                  <c:v>37.200000000000003</c:v>
                </c:pt>
                <c:pt idx="3">
                  <c:v>40.5</c:v>
                </c:pt>
                <c:pt idx="4">
                  <c:v>35.4</c:v>
                </c:pt>
                <c:pt idx="5">
                  <c:v>46.2</c:v>
                </c:pt>
                <c:pt idx="6">
                  <c:v>45.9</c:v>
                </c:pt>
                <c:pt idx="7">
                  <c:v>44.6</c:v>
                </c:pt>
                <c:pt idx="8">
                  <c:v>36.799999999999997</c:v>
                </c:pt>
                <c:pt idx="9">
                  <c:v>55.9</c:v>
                </c:pt>
                <c:pt idx="10">
                  <c:v>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5-4DF5-9425-0B094A1F58A3}"/>
            </c:ext>
          </c:extLst>
        </c:ser>
        <c:ser>
          <c:idx val="1"/>
          <c:order val="1"/>
          <c:tx>
            <c:strRef>
              <c:f>Risk_Pct_by_Group!$D$1</c:f>
              <c:strCache>
                <c:ptCount val="1"/>
                <c:pt idx="0">
                  <c:v>Shell execution</c:v>
                </c:pt>
              </c:strCache>
            </c:strRef>
          </c:tx>
          <c:invertIfNegative val="0"/>
          <c:cat>
            <c:strRef>
              <c:f>Risk_Pct_by_Group!$A$2:$A$12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Risk_Pct_by_Group!$D$2:$D$12</c:f>
              <c:numCache>
                <c:formatCode>General</c:formatCode>
                <c:ptCount val="11"/>
                <c:pt idx="0">
                  <c:v>5.4</c:v>
                </c:pt>
                <c:pt idx="1">
                  <c:v>2.9</c:v>
                </c:pt>
                <c:pt idx="2">
                  <c:v>8.6</c:v>
                </c:pt>
                <c:pt idx="3">
                  <c:v>4.9000000000000004</c:v>
                </c:pt>
                <c:pt idx="4">
                  <c:v>7.1</c:v>
                </c:pt>
                <c:pt idx="5">
                  <c:v>11.3</c:v>
                </c:pt>
                <c:pt idx="6">
                  <c:v>6.4</c:v>
                </c:pt>
                <c:pt idx="7">
                  <c:v>10.199999999999999</c:v>
                </c:pt>
                <c:pt idx="8">
                  <c:v>5.4</c:v>
                </c:pt>
                <c:pt idx="9">
                  <c:v>7.7</c:v>
                </c:pt>
                <c:pt idx="10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5-4DF5-9425-0B094A1F58A3}"/>
            </c:ext>
          </c:extLst>
        </c:ser>
        <c:ser>
          <c:idx val="2"/>
          <c:order val="2"/>
          <c:tx>
            <c:strRef>
              <c:f>Risk_Pct_by_Group!$E$1</c:f>
              <c:strCache>
                <c:ptCount val="1"/>
                <c:pt idx="0">
                  <c:v>Broad file access</c:v>
                </c:pt>
              </c:strCache>
            </c:strRef>
          </c:tx>
          <c:invertIfNegative val="0"/>
          <c:cat>
            <c:strRef>
              <c:f>Risk_Pct_by_Group!$A$2:$A$12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Risk_Pct_by_Group!$E$2:$E$12</c:f>
              <c:numCache>
                <c:formatCode>General</c:formatCode>
                <c:ptCount val="11"/>
                <c:pt idx="0">
                  <c:v>13.7</c:v>
                </c:pt>
                <c:pt idx="1">
                  <c:v>4.3</c:v>
                </c:pt>
                <c:pt idx="2">
                  <c:v>15.8</c:v>
                </c:pt>
                <c:pt idx="3">
                  <c:v>10.1</c:v>
                </c:pt>
                <c:pt idx="4">
                  <c:v>9.1</c:v>
                </c:pt>
                <c:pt idx="5">
                  <c:v>13.2</c:v>
                </c:pt>
                <c:pt idx="6">
                  <c:v>16.8</c:v>
                </c:pt>
                <c:pt idx="7">
                  <c:v>19.2</c:v>
                </c:pt>
                <c:pt idx="8">
                  <c:v>17</c:v>
                </c:pt>
                <c:pt idx="9">
                  <c:v>21.3</c:v>
                </c:pt>
                <c:pt idx="10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5-4DF5-9425-0B094A1F58A3}"/>
            </c:ext>
          </c:extLst>
        </c:ser>
        <c:ser>
          <c:idx val="3"/>
          <c:order val="3"/>
          <c:tx>
            <c:strRef>
              <c:f>Risk_Pct_by_Group!$F$1</c:f>
              <c:strCache>
                <c:ptCount val="1"/>
                <c:pt idx="0">
                  <c:v>Secrets / credentials</c:v>
                </c:pt>
              </c:strCache>
            </c:strRef>
          </c:tx>
          <c:invertIfNegative val="0"/>
          <c:cat>
            <c:strRef>
              <c:f>Risk_Pct_by_Group!$A$2:$A$12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Risk_Pct_by_Group!$F$2:$F$12</c:f>
              <c:numCache>
                <c:formatCode>General</c:formatCode>
                <c:ptCount val="11"/>
                <c:pt idx="0">
                  <c:v>25.5</c:v>
                </c:pt>
                <c:pt idx="1">
                  <c:v>18.600000000000001</c:v>
                </c:pt>
                <c:pt idx="2">
                  <c:v>24.4</c:v>
                </c:pt>
                <c:pt idx="3">
                  <c:v>36.4</c:v>
                </c:pt>
                <c:pt idx="4">
                  <c:v>24.2</c:v>
                </c:pt>
                <c:pt idx="5">
                  <c:v>30.2</c:v>
                </c:pt>
                <c:pt idx="6">
                  <c:v>55.8</c:v>
                </c:pt>
                <c:pt idx="7">
                  <c:v>37.1</c:v>
                </c:pt>
                <c:pt idx="8">
                  <c:v>27.7</c:v>
                </c:pt>
                <c:pt idx="9">
                  <c:v>59.4</c:v>
                </c:pt>
                <c:pt idx="10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5-4DF5-9425-0B094A1F58A3}"/>
            </c:ext>
          </c:extLst>
        </c:ser>
        <c:ser>
          <c:idx val="4"/>
          <c:order val="4"/>
          <c:tx>
            <c:strRef>
              <c:f>Risk_Pct_by_Group!$G$1</c:f>
              <c:strCache>
                <c:ptCount val="1"/>
                <c:pt idx="0">
                  <c:v>Injection signs</c:v>
                </c:pt>
              </c:strCache>
            </c:strRef>
          </c:tx>
          <c:invertIfNegative val="0"/>
          <c:cat>
            <c:strRef>
              <c:f>Risk_Pct_by_Group!$A$2:$A$12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Risk_Pct_by_Group!$G$2:$G$12</c:f>
              <c:numCache>
                <c:formatCode>General</c:formatCode>
                <c:ptCount val="11"/>
                <c:pt idx="0">
                  <c:v>17.7</c:v>
                </c:pt>
                <c:pt idx="1">
                  <c:v>10</c:v>
                </c:pt>
                <c:pt idx="2">
                  <c:v>20.2</c:v>
                </c:pt>
                <c:pt idx="3">
                  <c:v>13.7</c:v>
                </c:pt>
                <c:pt idx="4">
                  <c:v>8.1</c:v>
                </c:pt>
                <c:pt idx="5">
                  <c:v>17.899999999999999</c:v>
                </c:pt>
                <c:pt idx="6">
                  <c:v>14.2</c:v>
                </c:pt>
                <c:pt idx="7">
                  <c:v>16.899999999999999</c:v>
                </c:pt>
                <c:pt idx="8">
                  <c:v>15.1</c:v>
                </c:pt>
                <c:pt idx="9">
                  <c:v>14.3</c:v>
                </c:pt>
                <c:pt idx="10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5-4DF5-9425-0B094A1F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Sensitive domain / latent group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skill files in group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Risky capabilities across all 13,016 skill files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Skill files</c:v>
          </c:tx>
          <c:spPr>
            <a:solidFill>
              <a:srgbClr val="C55A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Risk_Overall!$A$2:$A$8</c:f>
              <c:strCache>
                <c:ptCount val="7"/>
                <c:pt idx="0">
                  <c:v>Network calls</c:v>
                </c:pt>
                <c:pt idx="1">
                  <c:v>Shell execution</c:v>
                </c:pt>
                <c:pt idx="2">
                  <c:v>Broad file access</c:v>
                </c:pt>
                <c:pt idx="3">
                  <c:v>Secrets / credentials</c:v>
                </c:pt>
                <c:pt idx="4">
                  <c:v>Injection signs</c:v>
                </c:pt>
                <c:pt idx="5">
                  <c:v>Any risky capability</c:v>
                </c:pt>
                <c:pt idx="6">
                  <c:v>Risky, no safeguard wording</c:v>
                </c:pt>
              </c:strCache>
            </c:strRef>
          </c:cat>
          <c:val>
            <c:numRef>
              <c:f>Risk_Overall!$B$2:$B$8</c:f>
              <c:numCache>
                <c:formatCode>General</c:formatCode>
                <c:ptCount val="7"/>
                <c:pt idx="0">
                  <c:v>3717</c:v>
                </c:pt>
                <c:pt idx="1">
                  <c:v>515</c:v>
                </c:pt>
                <c:pt idx="2">
                  <c:v>1434</c:v>
                </c:pt>
                <c:pt idx="3">
                  <c:v>2474</c:v>
                </c:pt>
                <c:pt idx="4">
                  <c:v>1220</c:v>
                </c:pt>
                <c:pt idx="5">
                  <c:v>6083</c:v>
                </c:pt>
                <c:pt idx="6">
                  <c:v>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D-48FD-9CD9-5F2E4A358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skill files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Sensitive-domain skills vs the rest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Sensitive_vs_Rest!$A$2</c:f>
              <c:strCache>
                <c:ptCount val="1"/>
                <c:pt idx="0">
                  <c:v>Sensitive-domain skills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Sensitive_vs_Rest!$C$1:$I$1</c:f>
              <c:strCache>
                <c:ptCount val="7"/>
                <c:pt idx="0">
                  <c:v>Network calls</c:v>
                </c:pt>
                <c:pt idx="1">
                  <c:v>Shell execution</c:v>
                </c:pt>
                <c:pt idx="2">
                  <c:v>Broad file access</c:v>
                </c:pt>
                <c:pt idx="3">
                  <c:v>Secrets / credentials</c:v>
                </c:pt>
                <c:pt idx="4">
                  <c:v>Injection signs</c:v>
                </c:pt>
                <c:pt idx="5">
                  <c:v>Any risk</c:v>
                </c:pt>
                <c:pt idx="6">
                  <c:v>Risky, no safeguard</c:v>
                </c:pt>
              </c:strCache>
            </c:strRef>
          </c:cat>
          <c:val>
            <c:numRef>
              <c:f>Sensitive_vs_Rest!$C$2:$I$2</c:f>
              <c:numCache>
                <c:formatCode>General</c:formatCode>
                <c:ptCount val="7"/>
                <c:pt idx="0">
                  <c:v>36.9</c:v>
                </c:pt>
                <c:pt idx="1">
                  <c:v>6.3</c:v>
                </c:pt>
                <c:pt idx="2">
                  <c:v>14.2</c:v>
                </c:pt>
                <c:pt idx="3">
                  <c:v>28.7</c:v>
                </c:pt>
                <c:pt idx="4">
                  <c:v>15.8</c:v>
                </c:pt>
                <c:pt idx="5">
                  <c:v>60.8</c:v>
                </c:pt>
                <c:pt idx="6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2-45A7-8941-2794093D5942}"/>
            </c:ext>
          </c:extLst>
        </c:ser>
        <c:ser>
          <c:idx val="1"/>
          <c:order val="1"/>
          <c:tx>
            <c:strRef>
              <c:f>Sensitive_vs_Rest!$A$3</c:f>
              <c:strCache>
                <c:ptCount val="1"/>
                <c:pt idx="0">
                  <c:v>No explicit domain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Sensitive_vs_Rest!$C$1:$I$1</c:f>
              <c:strCache>
                <c:ptCount val="7"/>
                <c:pt idx="0">
                  <c:v>Network calls</c:v>
                </c:pt>
                <c:pt idx="1">
                  <c:v>Shell execution</c:v>
                </c:pt>
                <c:pt idx="2">
                  <c:v>Broad file access</c:v>
                </c:pt>
                <c:pt idx="3">
                  <c:v>Secrets / credentials</c:v>
                </c:pt>
                <c:pt idx="4">
                  <c:v>Injection signs</c:v>
                </c:pt>
                <c:pt idx="5">
                  <c:v>Any risk</c:v>
                </c:pt>
                <c:pt idx="6">
                  <c:v>Risky, no safeguard</c:v>
                </c:pt>
              </c:strCache>
            </c:strRef>
          </c:cat>
          <c:val>
            <c:numRef>
              <c:f>Sensitive_vs_Rest!$C$3:$I$3</c:f>
              <c:numCache>
                <c:formatCode>General</c:formatCode>
                <c:ptCount val="7"/>
                <c:pt idx="0">
                  <c:v>25.6</c:v>
                </c:pt>
                <c:pt idx="1">
                  <c:v>3.1</c:v>
                </c:pt>
                <c:pt idx="2">
                  <c:v>9.9</c:v>
                </c:pt>
                <c:pt idx="3">
                  <c:v>15.5</c:v>
                </c:pt>
                <c:pt idx="4">
                  <c:v>7.1</c:v>
                </c:pt>
                <c:pt idx="5">
                  <c:v>41.7</c:v>
                </c:pt>
                <c:pt idx="6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2-45A7-8941-2794093D5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Risky capability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% of skill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In-scope skills vs the rest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Sensitive_vs_Rest!$A$7</c:f>
              <c:strCache>
                <c:ptCount val="1"/>
                <c:pt idx="0">
                  <c:v>In scope (domain or latent)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Sensitive_vs_Rest!$C$6:$I$6</c:f>
              <c:strCache>
                <c:ptCount val="7"/>
                <c:pt idx="0">
                  <c:v>Network calls</c:v>
                </c:pt>
                <c:pt idx="1">
                  <c:v>Shell execution</c:v>
                </c:pt>
                <c:pt idx="2">
                  <c:v>Broad file access</c:v>
                </c:pt>
                <c:pt idx="3">
                  <c:v>Secrets / credentials</c:v>
                </c:pt>
                <c:pt idx="4">
                  <c:v>Injection signs</c:v>
                </c:pt>
                <c:pt idx="5">
                  <c:v>Any risk</c:v>
                </c:pt>
                <c:pt idx="6">
                  <c:v>Risky, no safeguard</c:v>
                </c:pt>
              </c:strCache>
            </c:strRef>
          </c:cat>
          <c:val>
            <c:numRef>
              <c:f>Sensitive_vs_Rest!$C$7:$I$7</c:f>
              <c:numCache>
                <c:formatCode>General</c:formatCode>
                <c:ptCount val="7"/>
                <c:pt idx="0">
                  <c:v>37.700000000000003</c:v>
                </c:pt>
                <c:pt idx="1">
                  <c:v>5.5</c:v>
                </c:pt>
                <c:pt idx="2">
                  <c:v>14.8</c:v>
                </c:pt>
                <c:pt idx="3">
                  <c:v>29.3</c:v>
                </c:pt>
                <c:pt idx="4">
                  <c:v>13.2</c:v>
                </c:pt>
                <c:pt idx="5">
                  <c:v>61.2</c:v>
                </c:pt>
                <c:pt idx="6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9-4D2E-9907-FB57AA3C15DF}"/>
            </c:ext>
          </c:extLst>
        </c:ser>
        <c:ser>
          <c:idx val="1"/>
          <c:order val="1"/>
          <c:tx>
            <c:strRef>
              <c:f>Sensitive_vs_Rest!$A$8</c:f>
              <c:strCache>
                <c:ptCount val="1"/>
                <c:pt idx="0">
                  <c:v>Neither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Sensitive_vs_Rest!$C$6:$I$6</c:f>
              <c:strCache>
                <c:ptCount val="7"/>
                <c:pt idx="0">
                  <c:v>Network calls</c:v>
                </c:pt>
                <c:pt idx="1">
                  <c:v>Shell execution</c:v>
                </c:pt>
                <c:pt idx="2">
                  <c:v>Broad file access</c:v>
                </c:pt>
                <c:pt idx="3">
                  <c:v>Secrets / credentials</c:v>
                </c:pt>
                <c:pt idx="4">
                  <c:v>Injection signs</c:v>
                </c:pt>
                <c:pt idx="5">
                  <c:v>Any risk</c:v>
                </c:pt>
                <c:pt idx="6">
                  <c:v>Risky, no safeguard</c:v>
                </c:pt>
              </c:strCache>
            </c:strRef>
          </c:cat>
          <c:val>
            <c:numRef>
              <c:f>Sensitive_vs_Rest!$C$8:$I$8</c:f>
              <c:numCache>
                <c:formatCode>General</c:formatCode>
                <c:ptCount val="7"/>
                <c:pt idx="0">
                  <c:v>17.399999999999999</c:v>
                </c:pt>
                <c:pt idx="1">
                  <c:v>2.1</c:v>
                </c:pt>
                <c:pt idx="2">
                  <c:v>6.4</c:v>
                </c:pt>
                <c:pt idx="3">
                  <c:v>6.4</c:v>
                </c:pt>
                <c:pt idx="4">
                  <c:v>4.7</c:v>
                </c:pt>
                <c:pt idx="5">
                  <c:v>29.1</c:v>
                </c:pt>
                <c:pt idx="6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9-4D2E-9907-FB57AA3C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Risky capability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skill files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How many sensitive domains does a skill touch?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Skill files</c:v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Distributions!$A$2:$A$8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Distributions!$B$2:$B$8</c:f>
              <c:numCache>
                <c:formatCode>General</c:formatCode>
                <c:ptCount val="7"/>
                <c:pt idx="0">
                  <c:v>9596</c:v>
                </c:pt>
                <c:pt idx="1">
                  <c:v>2633</c:v>
                </c:pt>
                <c:pt idx="2">
                  <c:v>610</c:v>
                </c:pt>
                <c:pt idx="3">
                  <c:v>131</c:v>
                </c:pt>
                <c:pt idx="4">
                  <c:v>36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8-47BD-B4BE-6A0C8AC1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sensitive domains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skill files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How many risky capability types does a skill show?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Skill files</c:v>
          </c:tx>
          <c:spPr>
            <a:solidFill>
              <a:srgbClr val="BF9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Distributions!$E$2:$E$7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Distributions!$F$2:$F$7</c:f>
              <c:numCache>
                <c:formatCode>General</c:formatCode>
                <c:ptCount val="6"/>
                <c:pt idx="0">
                  <c:v>6933</c:v>
                </c:pt>
                <c:pt idx="1">
                  <c:v>3640</c:v>
                </c:pt>
                <c:pt idx="2">
                  <c:v>1767</c:v>
                </c:pt>
                <c:pt idx="3">
                  <c:v>532</c:v>
                </c:pt>
                <c:pt idx="4">
                  <c:v>130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E-40A8-927E-9262F5622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risky capability types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skill files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Skills with a risky capability vs. those with no safeguard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Safeguards_by_Group!$C$1</c:f>
              <c:strCache>
                <c:ptCount val="1"/>
                <c:pt idx="0">
                  <c:v>Any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Safeguards_by_Group!$A$2:$A$12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Safeguards_by_Group!$C$2:$C$12</c:f>
              <c:numCache>
                <c:formatCode>General</c:formatCode>
                <c:ptCount val="11"/>
                <c:pt idx="0">
                  <c:v>57.2</c:v>
                </c:pt>
                <c:pt idx="1">
                  <c:v>42.9</c:v>
                </c:pt>
                <c:pt idx="2">
                  <c:v>62.2</c:v>
                </c:pt>
                <c:pt idx="3">
                  <c:v>61.7</c:v>
                </c:pt>
                <c:pt idx="4">
                  <c:v>55.6</c:v>
                </c:pt>
                <c:pt idx="5">
                  <c:v>68.900000000000006</c:v>
                </c:pt>
                <c:pt idx="6">
                  <c:v>77.3</c:v>
                </c:pt>
                <c:pt idx="7">
                  <c:v>68.3</c:v>
                </c:pt>
                <c:pt idx="8">
                  <c:v>61.1</c:v>
                </c:pt>
                <c:pt idx="9">
                  <c:v>84.3</c:v>
                </c:pt>
                <c:pt idx="10">
                  <c:v>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B-457B-8926-661C9511F716}"/>
            </c:ext>
          </c:extLst>
        </c:ser>
        <c:ser>
          <c:idx val="1"/>
          <c:order val="1"/>
          <c:tx>
            <c:strRef>
              <c:f>Safeguards_by_Group!$D$1</c:f>
              <c:strCache>
                <c:ptCount val="1"/>
                <c:pt idx="0">
                  <c:v>Risky, no safeguard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Safeguards_by_Group!$A$2:$A$12</c:f>
              <c:strCache>
                <c:ptCount val="11"/>
                <c:pt idx="0">
                  <c:v>Health</c:v>
                </c:pt>
                <c:pt idx="1">
                  <c:v>Mental health</c:v>
                </c:pt>
                <c:pt idx="2">
                  <c:v>Children &amp; education</c:v>
                </c:pt>
                <c:pt idx="3">
                  <c:v>Finance</c:v>
                </c:pt>
                <c:pt idx="4">
                  <c:v>Legal &amp; immigration</c:v>
                </c:pt>
                <c:pt idx="5">
                  <c:v>Location</c:v>
                </c:pt>
                <c:pt idx="6">
                  <c:v>Personal identity</c:v>
                </c:pt>
                <c:pt idx="7">
                  <c:v>Vulnerable groups</c:v>
                </c:pt>
                <c:pt idx="8">
                  <c:v>Latent: Personal data stores</c:v>
                </c:pt>
                <c:pt idx="9">
                  <c:v>Latent: Credentials &amp; accounts</c:v>
                </c:pt>
                <c:pt idx="10">
                  <c:v>Latent: Device access</c:v>
                </c:pt>
              </c:strCache>
            </c:strRef>
          </c:cat>
          <c:val>
            <c:numRef>
              <c:f>Safeguards_by_Group!$D$2:$D$12</c:f>
              <c:numCache>
                <c:formatCode>General</c:formatCode>
                <c:ptCount val="11"/>
                <c:pt idx="0">
                  <c:v>15.7</c:v>
                </c:pt>
                <c:pt idx="1">
                  <c:v>8.6</c:v>
                </c:pt>
                <c:pt idx="2">
                  <c:v>22</c:v>
                </c:pt>
                <c:pt idx="3">
                  <c:v>19.3</c:v>
                </c:pt>
                <c:pt idx="4">
                  <c:v>14.1</c:v>
                </c:pt>
                <c:pt idx="5">
                  <c:v>28.3</c:v>
                </c:pt>
                <c:pt idx="6">
                  <c:v>16.600000000000001</c:v>
                </c:pt>
                <c:pt idx="7">
                  <c:v>16.7</c:v>
                </c:pt>
                <c:pt idx="8">
                  <c:v>23.5</c:v>
                </c:pt>
                <c:pt idx="9">
                  <c:v>32.200000000000003</c:v>
                </c:pt>
                <c:pt idx="10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B-457B-8926-661C9511F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0100001"/>
        <c:axId val="50100002"/>
      </c:barChart>
      <c:catAx>
        <c:axId val="5010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Sensitive domain / latent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% of skill files in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2809874</xdr:colOff>
      <xdr:row>4</xdr:row>
      <xdr:rowOff>0</xdr:rowOff>
    </xdr:from>
    <xdr:to>
      <xdr:col>10</xdr:col>
      <xdr:colOff>390525</xdr:colOff>
      <xdr:row>21</xdr:row>
      <xdr:rowOff>495300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0</xdr:row>
      <xdr:rowOff>0</xdr:rowOff>
    </xdr:from>
    <xdr:to>
      <xdr:col>13</xdr:col>
      <xdr:colOff>419100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95250</xdr:rowOff>
    </xdr:from>
    <xdr:to>
      <xdr:col>9</xdr:col>
      <xdr:colOff>400050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1076325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171450</xdr:rowOff>
    </xdr:from>
    <xdr:to>
      <xdr:col>13</xdr:col>
      <xdr:colOff>504825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2</xdr:row>
      <xdr:rowOff>76200</xdr:rowOff>
    </xdr:from>
    <xdr:to>
      <xdr:col>7</xdr:col>
      <xdr:colOff>1114425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1238250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1657350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17</xdr:col>
      <xdr:colOff>419100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11</xdr:col>
      <xdr:colOff>152400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4" workbookViewId="0">
      <selection activeCell="B7" sqref="B7"/>
    </sheetView>
  </sheetViews>
  <sheetFormatPr defaultRowHeight="15" x14ac:dyDescent="0.25"/>
  <cols>
    <col min="1" max="1" width="52.7109375" customWidth="1"/>
    <col min="2" max="3" width="14.7109375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s="2" t="s">
        <v>2</v>
      </c>
    </row>
    <row r="4" spans="1:3" x14ac:dyDescent="0.25">
      <c r="A4" s="3" t="s">
        <v>3</v>
      </c>
      <c r="B4" s="3">
        <v>13016</v>
      </c>
    </row>
    <row r="5" spans="1:3" x14ac:dyDescent="0.25">
      <c r="A5" s="3" t="s">
        <v>4</v>
      </c>
      <c r="B5" s="3">
        <v>8</v>
      </c>
    </row>
    <row r="6" spans="1:3" x14ac:dyDescent="0.25">
      <c r="A6" s="3" t="s">
        <v>5</v>
      </c>
      <c r="B6" s="3">
        <v>8</v>
      </c>
    </row>
    <row r="7" spans="1:3" x14ac:dyDescent="0.25">
      <c r="A7" s="3" t="s">
        <v>6</v>
      </c>
      <c r="B7" s="3">
        <v>3</v>
      </c>
    </row>
    <row r="8" spans="1:3" x14ac:dyDescent="0.25">
      <c r="A8" s="3" t="s">
        <v>7</v>
      </c>
      <c r="B8" s="3">
        <v>3</v>
      </c>
    </row>
    <row r="9" spans="1:3" x14ac:dyDescent="0.25">
      <c r="A9" s="3" t="s">
        <v>8</v>
      </c>
      <c r="B9" s="3">
        <v>5</v>
      </c>
    </row>
    <row r="10" spans="1:3" x14ac:dyDescent="0.25">
      <c r="A10" s="3" t="s">
        <v>9</v>
      </c>
      <c r="B10" s="3">
        <v>5</v>
      </c>
    </row>
    <row r="11" spans="1:3" x14ac:dyDescent="0.25">
      <c r="A11" s="3" t="s">
        <v>10</v>
      </c>
      <c r="B11" s="3">
        <v>9360</v>
      </c>
    </row>
    <row r="13" spans="1:3" x14ac:dyDescent="0.25">
      <c r="A13" s="2" t="s">
        <v>11</v>
      </c>
      <c r="B13" s="2" t="s">
        <v>12</v>
      </c>
      <c r="C13" s="2" t="s">
        <v>13</v>
      </c>
    </row>
    <row r="14" spans="1:3" x14ac:dyDescent="0.25">
      <c r="A14" s="3" t="s">
        <v>50</v>
      </c>
      <c r="B14" s="3">
        <v>3420</v>
      </c>
      <c r="C14" s="3">
        <v>26.3</v>
      </c>
    </row>
    <row r="15" spans="1:3" x14ac:dyDescent="0.25">
      <c r="A15" s="3" t="s">
        <v>51</v>
      </c>
      <c r="B15" s="3">
        <v>5854</v>
      </c>
      <c r="C15" s="3">
        <v>45</v>
      </c>
    </row>
    <row r="16" spans="1:3" x14ac:dyDescent="0.25">
      <c r="A16" s="3" t="s">
        <v>52</v>
      </c>
      <c r="B16" s="3">
        <v>7164</v>
      </c>
      <c r="C16" s="3">
        <v>55</v>
      </c>
    </row>
    <row r="17" spans="1:3" x14ac:dyDescent="0.25">
      <c r="A17" s="3" t="s">
        <v>41</v>
      </c>
      <c r="B17" s="3">
        <v>6083</v>
      </c>
      <c r="C17" s="3">
        <v>46.7</v>
      </c>
    </row>
    <row r="18" spans="1:3" x14ac:dyDescent="0.25">
      <c r="A18" s="3" t="s">
        <v>40</v>
      </c>
      <c r="B18" s="3">
        <v>2860</v>
      </c>
      <c r="C18" s="3">
        <v>22</v>
      </c>
    </row>
    <row r="21" spans="1:3" x14ac:dyDescent="0.25">
      <c r="A21" s="4" t="s">
        <v>14</v>
      </c>
    </row>
    <row r="22" spans="1:3" ht="48" customHeight="1" x14ac:dyDescent="0.25">
      <c r="A22" s="6" t="s">
        <v>15</v>
      </c>
      <c r="B22" s="6"/>
      <c r="C22" s="6"/>
    </row>
    <row r="23" spans="1:3" ht="48" customHeight="1" x14ac:dyDescent="0.25">
      <c r="A23" s="6" t="s">
        <v>16</v>
      </c>
      <c r="B23" s="6"/>
      <c r="C23" s="6"/>
    </row>
    <row r="24" spans="1:3" ht="48" customHeight="1" x14ac:dyDescent="0.25">
      <c r="A24" s="6" t="s">
        <v>17</v>
      </c>
      <c r="B24" s="6"/>
      <c r="C24" s="6"/>
    </row>
    <row r="25" spans="1:3" ht="48" customHeight="1" x14ac:dyDescent="0.25">
      <c r="A25" s="6" t="s">
        <v>18</v>
      </c>
      <c r="B25" s="6"/>
      <c r="C25" s="6"/>
    </row>
    <row r="26" spans="1:3" ht="48" customHeight="1" x14ac:dyDescent="0.25">
      <c r="A26" s="6" t="s">
        <v>19</v>
      </c>
      <c r="B26" s="6"/>
      <c r="C26" s="6"/>
    </row>
  </sheetData>
  <mergeCells count="5">
    <mergeCell ref="A22:C22"/>
    <mergeCell ref="A23:C23"/>
    <mergeCell ref="A24:C24"/>
    <mergeCell ref="A25:C25"/>
    <mergeCell ref="A26:C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cols>
    <col min="1" max="1" width="28.7109375" customWidth="1"/>
    <col min="2" max="3" width="16.7109375" customWidth="1"/>
  </cols>
  <sheetData>
    <row r="1" spans="1:3" x14ac:dyDescent="0.25">
      <c r="A1" s="5" t="s">
        <v>20</v>
      </c>
      <c r="B1" s="5" t="s">
        <v>21</v>
      </c>
      <c r="C1" s="5" t="s">
        <v>22</v>
      </c>
    </row>
    <row r="2" spans="1:3" x14ac:dyDescent="0.25">
      <c r="A2" t="s">
        <v>23</v>
      </c>
      <c r="B2">
        <v>4134</v>
      </c>
      <c r="C2">
        <v>31.8</v>
      </c>
    </row>
    <row r="3" spans="1:3" x14ac:dyDescent="0.25">
      <c r="A3" t="s">
        <v>24</v>
      </c>
      <c r="B3">
        <v>2456</v>
      </c>
      <c r="C3">
        <v>18.899999999999999</v>
      </c>
    </row>
    <row r="4" spans="1:3" x14ac:dyDescent="0.25">
      <c r="A4" t="s">
        <v>25</v>
      </c>
      <c r="B4">
        <v>1389</v>
      </c>
      <c r="C4">
        <v>10.7</v>
      </c>
    </row>
    <row r="5" spans="1:3" x14ac:dyDescent="0.25">
      <c r="A5" t="s">
        <v>26</v>
      </c>
      <c r="B5">
        <v>1128</v>
      </c>
      <c r="C5">
        <v>8.6999999999999993</v>
      </c>
    </row>
    <row r="6" spans="1:3" x14ac:dyDescent="0.25">
      <c r="A6" t="s">
        <v>27</v>
      </c>
      <c r="B6">
        <v>973</v>
      </c>
      <c r="C6">
        <v>7.5</v>
      </c>
    </row>
    <row r="7" spans="1:3" x14ac:dyDescent="0.25">
      <c r="A7" t="s">
        <v>28</v>
      </c>
      <c r="B7">
        <v>736</v>
      </c>
      <c r="C7">
        <v>5.7</v>
      </c>
    </row>
    <row r="8" spans="1:3" x14ac:dyDescent="0.25">
      <c r="A8" t="s">
        <v>29</v>
      </c>
      <c r="B8">
        <v>599</v>
      </c>
      <c r="C8">
        <v>4.5999999999999996</v>
      </c>
    </row>
    <row r="9" spans="1:3" x14ac:dyDescent="0.25">
      <c r="A9" t="s">
        <v>30</v>
      </c>
      <c r="B9">
        <v>471</v>
      </c>
      <c r="C9">
        <v>3.6</v>
      </c>
    </row>
    <row r="10" spans="1:3" x14ac:dyDescent="0.25">
      <c r="A10" t="s">
        <v>31</v>
      </c>
      <c r="B10">
        <v>106</v>
      </c>
      <c r="C10">
        <v>0.8</v>
      </c>
    </row>
    <row r="11" spans="1:3" x14ac:dyDescent="0.25">
      <c r="A11" t="s">
        <v>32</v>
      </c>
      <c r="B11">
        <v>99</v>
      </c>
      <c r="C11">
        <v>0.8</v>
      </c>
    </row>
    <row r="12" spans="1:3" x14ac:dyDescent="0.25">
      <c r="A12" t="s">
        <v>33</v>
      </c>
      <c r="B12">
        <v>70</v>
      </c>
      <c r="C12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5" x14ac:dyDescent="0.25"/>
  <cols>
    <col min="1" max="1" width="28.7109375" customWidth="1"/>
    <col min="2" max="7" width="18.7109375" customWidth="1"/>
  </cols>
  <sheetData>
    <row r="1" spans="1:7" x14ac:dyDescent="0.25">
      <c r="A1" s="5" t="s">
        <v>20</v>
      </c>
      <c r="B1" s="5" t="s">
        <v>21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</row>
    <row r="2" spans="1:7" x14ac:dyDescent="0.25">
      <c r="A2" t="s">
        <v>27</v>
      </c>
      <c r="B2">
        <v>973</v>
      </c>
      <c r="C2">
        <v>331</v>
      </c>
      <c r="D2">
        <v>53</v>
      </c>
      <c r="E2">
        <v>133</v>
      </c>
      <c r="F2">
        <v>248</v>
      </c>
      <c r="G2">
        <v>172</v>
      </c>
    </row>
    <row r="3" spans="1:7" x14ac:dyDescent="0.25">
      <c r="A3" t="s">
        <v>33</v>
      </c>
      <c r="B3">
        <v>70</v>
      </c>
      <c r="C3">
        <v>20</v>
      </c>
      <c r="D3">
        <v>2</v>
      </c>
      <c r="E3">
        <v>3</v>
      </c>
      <c r="F3">
        <v>13</v>
      </c>
      <c r="G3">
        <v>7</v>
      </c>
    </row>
    <row r="4" spans="1:7" x14ac:dyDescent="0.25">
      <c r="A4" t="s">
        <v>25</v>
      </c>
      <c r="B4">
        <v>1389</v>
      </c>
      <c r="C4">
        <v>517</v>
      </c>
      <c r="D4">
        <v>119</v>
      </c>
      <c r="E4">
        <v>220</v>
      </c>
      <c r="F4">
        <v>339</v>
      </c>
      <c r="G4">
        <v>281</v>
      </c>
    </row>
    <row r="5" spans="1:7" x14ac:dyDescent="0.25">
      <c r="A5" t="s">
        <v>28</v>
      </c>
      <c r="B5">
        <v>736</v>
      </c>
      <c r="C5">
        <v>298</v>
      </c>
      <c r="D5">
        <v>36</v>
      </c>
      <c r="E5">
        <v>74</v>
      </c>
      <c r="F5">
        <v>268</v>
      </c>
      <c r="G5">
        <v>101</v>
      </c>
    </row>
    <row r="6" spans="1:7" x14ac:dyDescent="0.25">
      <c r="A6" t="s">
        <v>32</v>
      </c>
      <c r="B6">
        <v>99</v>
      </c>
      <c r="C6">
        <v>35</v>
      </c>
      <c r="D6">
        <v>7</v>
      </c>
      <c r="E6">
        <v>9</v>
      </c>
      <c r="F6">
        <v>24</v>
      </c>
      <c r="G6">
        <v>8</v>
      </c>
    </row>
    <row r="7" spans="1:7" x14ac:dyDescent="0.25">
      <c r="A7" t="s">
        <v>31</v>
      </c>
      <c r="B7">
        <v>106</v>
      </c>
      <c r="C7">
        <v>49</v>
      </c>
      <c r="D7">
        <v>12</v>
      </c>
      <c r="E7">
        <v>14</v>
      </c>
      <c r="F7">
        <v>32</v>
      </c>
      <c r="G7">
        <v>19</v>
      </c>
    </row>
    <row r="8" spans="1:7" x14ac:dyDescent="0.25">
      <c r="A8" t="s">
        <v>30</v>
      </c>
      <c r="B8">
        <v>471</v>
      </c>
      <c r="C8">
        <v>216</v>
      </c>
      <c r="D8">
        <v>30</v>
      </c>
      <c r="E8">
        <v>79</v>
      </c>
      <c r="F8">
        <v>263</v>
      </c>
      <c r="G8">
        <v>67</v>
      </c>
    </row>
    <row r="9" spans="1:7" x14ac:dyDescent="0.25">
      <c r="A9" t="s">
        <v>29</v>
      </c>
      <c r="B9">
        <v>599</v>
      </c>
      <c r="C9">
        <v>267</v>
      </c>
      <c r="D9">
        <v>61</v>
      </c>
      <c r="E9">
        <v>115</v>
      </c>
      <c r="F9">
        <v>222</v>
      </c>
      <c r="G9">
        <v>101</v>
      </c>
    </row>
    <row r="10" spans="1:7" x14ac:dyDescent="0.25">
      <c r="A10" t="s">
        <v>23</v>
      </c>
      <c r="B10">
        <v>4134</v>
      </c>
      <c r="C10">
        <v>1522</v>
      </c>
      <c r="D10">
        <v>223</v>
      </c>
      <c r="E10">
        <v>701</v>
      </c>
      <c r="F10">
        <v>1147</v>
      </c>
      <c r="G10">
        <v>624</v>
      </c>
    </row>
    <row r="11" spans="1:7" x14ac:dyDescent="0.25">
      <c r="A11" t="s">
        <v>24</v>
      </c>
      <c r="B11">
        <v>2456</v>
      </c>
      <c r="C11">
        <v>1374</v>
      </c>
      <c r="D11">
        <v>188</v>
      </c>
      <c r="E11">
        <v>523</v>
      </c>
      <c r="F11">
        <v>1458</v>
      </c>
      <c r="G11">
        <v>350</v>
      </c>
    </row>
    <row r="12" spans="1:7" x14ac:dyDescent="0.25">
      <c r="A12" t="s">
        <v>26</v>
      </c>
      <c r="B12">
        <v>1128</v>
      </c>
      <c r="C12">
        <v>461</v>
      </c>
      <c r="D12">
        <v>103</v>
      </c>
      <c r="E12">
        <v>232</v>
      </c>
      <c r="F12">
        <v>347</v>
      </c>
      <c r="G12">
        <v>204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opLeftCell="A14" workbookViewId="0"/>
  </sheetViews>
  <sheetFormatPr defaultRowHeight="15" x14ac:dyDescent="0.25"/>
  <cols>
    <col min="1" max="1" width="28.7109375" customWidth="1"/>
    <col min="2" max="9" width="18.7109375" customWidth="1"/>
  </cols>
  <sheetData>
    <row r="1" spans="1:9" x14ac:dyDescent="0.25">
      <c r="A1" s="5" t="s">
        <v>20</v>
      </c>
      <c r="B1" s="5" t="s">
        <v>21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spans="1:9" x14ac:dyDescent="0.25">
      <c r="A2" t="s">
        <v>27</v>
      </c>
      <c r="B2">
        <v>973</v>
      </c>
      <c r="C2">
        <v>34</v>
      </c>
      <c r="D2">
        <v>5.4</v>
      </c>
      <c r="E2">
        <v>13.7</v>
      </c>
      <c r="F2">
        <v>25.5</v>
      </c>
      <c r="G2">
        <v>17.7</v>
      </c>
      <c r="H2">
        <v>57.2</v>
      </c>
      <c r="I2">
        <v>15.7</v>
      </c>
    </row>
    <row r="3" spans="1:9" x14ac:dyDescent="0.25">
      <c r="A3" t="s">
        <v>33</v>
      </c>
      <c r="B3">
        <v>70</v>
      </c>
      <c r="C3">
        <v>28.6</v>
      </c>
      <c r="D3">
        <v>2.9</v>
      </c>
      <c r="E3">
        <v>4.3</v>
      </c>
      <c r="F3">
        <v>18.600000000000001</v>
      </c>
      <c r="G3">
        <v>10</v>
      </c>
      <c r="H3">
        <v>42.9</v>
      </c>
      <c r="I3">
        <v>8.6</v>
      </c>
    </row>
    <row r="4" spans="1:9" x14ac:dyDescent="0.25">
      <c r="A4" t="s">
        <v>25</v>
      </c>
      <c r="B4">
        <v>1389</v>
      </c>
      <c r="C4">
        <v>37.200000000000003</v>
      </c>
      <c r="D4">
        <v>8.6</v>
      </c>
      <c r="E4">
        <v>15.8</v>
      </c>
      <c r="F4">
        <v>24.4</v>
      </c>
      <c r="G4">
        <v>20.2</v>
      </c>
      <c r="H4">
        <v>62.2</v>
      </c>
      <c r="I4">
        <v>22</v>
      </c>
    </row>
    <row r="5" spans="1:9" x14ac:dyDescent="0.25">
      <c r="A5" t="s">
        <v>28</v>
      </c>
      <c r="B5">
        <v>736</v>
      </c>
      <c r="C5">
        <v>40.5</v>
      </c>
      <c r="D5">
        <v>4.9000000000000004</v>
      </c>
      <c r="E5">
        <v>10.1</v>
      </c>
      <c r="F5">
        <v>36.4</v>
      </c>
      <c r="G5">
        <v>13.7</v>
      </c>
      <c r="H5">
        <v>61.7</v>
      </c>
      <c r="I5">
        <v>19.3</v>
      </c>
    </row>
    <row r="6" spans="1:9" x14ac:dyDescent="0.25">
      <c r="A6" t="s">
        <v>32</v>
      </c>
      <c r="B6">
        <v>99</v>
      </c>
      <c r="C6">
        <v>35.4</v>
      </c>
      <c r="D6">
        <v>7.1</v>
      </c>
      <c r="E6">
        <v>9.1</v>
      </c>
      <c r="F6">
        <v>24.2</v>
      </c>
      <c r="G6">
        <v>8.1</v>
      </c>
      <c r="H6">
        <v>55.6</v>
      </c>
      <c r="I6">
        <v>14.1</v>
      </c>
    </row>
    <row r="7" spans="1:9" x14ac:dyDescent="0.25">
      <c r="A7" t="s">
        <v>31</v>
      </c>
      <c r="B7">
        <v>106</v>
      </c>
      <c r="C7">
        <v>46.2</v>
      </c>
      <c r="D7">
        <v>11.3</v>
      </c>
      <c r="E7">
        <v>13.2</v>
      </c>
      <c r="F7">
        <v>30.2</v>
      </c>
      <c r="G7">
        <v>17.899999999999999</v>
      </c>
      <c r="H7">
        <v>68.900000000000006</v>
      </c>
      <c r="I7">
        <v>28.3</v>
      </c>
    </row>
    <row r="8" spans="1:9" x14ac:dyDescent="0.25">
      <c r="A8" t="s">
        <v>30</v>
      </c>
      <c r="B8">
        <v>471</v>
      </c>
      <c r="C8">
        <v>45.9</v>
      </c>
      <c r="D8">
        <v>6.4</v>
      </c>
      <c r="E8">
        <v>16.8</v>
      </c>
      <c r="F8">
        <v>55.8</v>
      </c>
      <c r="G8">
        <v>14.2</v>
      </c>
      <c r="H8">
        <v>77.3</v>
      </c>
      <c r="I8">
        <v>16.600000000000001</v>
      </c>
    </row>
    <row r="9" spans="1:9" x14ac:dyDescent="0.25">
      <c r="A9" t="s">
        <v>29</v>
      </c>
      <c r="B9">
        <v>599</v>
      </c>
      <c r="C9">
        <v>44.6</v>
      </c>
      <c r="D9">
        <v>10.199999999999999</v>
      </c>
      <c r="E9">
        <v>19.2</v>
      </c>
      <c r="F9">
        <v>37.1</v>
      </c>
      <c r="G9">
        <v>16.899999999999999</v>
      </c>
      <c r="H9">
        <v>68.3</v>
      </c>
      <c r="I9">
        <v>16.7</v>
      </c>
    </row>
    <row r="10" spans="1:9" x14ac:dyDescent="0.25">
      <c r="A10" t="s">
        <v>23</v>
      </c>
      <c r="B10">
        <v>4134</v>
      </c>
      <c r="C10">
        <v>36.799999999999997</v>
      </c>
      <c r="D10">
        <v>5.4</v>
      </c>
      <c r="E10">
        <v>17</v>
      </c>
      <c r="F10">
        <v>27.7</v>
      </c>
      <c r="G10">
        <v>15.1</v>
      </c>
      <c r="H10">
        <v>61.1</v>
      </c>
      <c r="I10">
        <v>23.5</v>
      </c>
    </row>
    <row r="11" spans="1:9" x14ac:dyDescent="0.25">
      <c r="A11" t="s">
        <v>24</v>
      </c>
      <c r="B11">
        <v>2456</v>
      </c>
      <c r="C11">
        <v>55.9</v>
      </c>
      <c r="D11">
        <v>7.7</v>
      </c>
      <c r="E11">
        <v>21.3</v>
      </c>
      <c r="F11">
        <v>59.4</v>
      </c>
      <c r="G11">
        <v>14.3</v>
      </c>
      <c r="H11">
        <v>84.3</v>
      </c>
      <c r="I11">
        <v>32.200000000000003</v>
      </c>
    </row>
    <row r="12" spans="1:9" x14ac:dyDescent="0.25">
      <c r="A12" t="s">
        <v>26</v>
      </c>
      <c r="B12">
        <v>1128</v>
      </c>
      <c r="C12">
        <v>40.9</v>
      </c>
      <c r="D12">
        <v>9.1</v>
      </c>
      <c r="E12">
        <v>20.6</v>
      </c>
      <c r="F12">
        <v>30.8</v>
      </c>
      <c r="G12">
        <v>18.100000000000001</v>
      </c>
      <c r="H12">
        <v>64.8</v>
      </c>
      <c r="I12">
        <v>22.4</v>
      </c>
    </row>
  </sheetData>
  <conditionalFormatting sqref="C2:I12">
    <cfRule type="colorScale" priority="1">
      <colorScale>
        <cfvo type="min"/>
        <cfvo type="percentile" val="50"/>
        <cfvo type="max"/>
        <color rgb="FFFFFFFF"/>
        <color rgb="FFFFE699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A18" sqref="A18"/>
    </sheetView>
  </sheetViews>
  <sheetFormatPr defaultRowHeight="15" x14ac:dyDescent="0.25"/>
  <cols>
    <col min="1" max="1" width="32.7109375" customWidth="1"/>
    <col min="2" max="3" width="16.7109375" customWidth="1"/>
  </cols>
  <sheetData>
    <row r="1" spans="1:3" x14ac:dyDescent="0.25">
      <c r="A1" s="5" t="s">
        <v>41</v>
      </c>
      <c r="B1" s="5" t="s">
        <v>21</v>
      </c>
      <c r="C1" s="5" t="s">
        <v>22</v>
      </c>
    </row>
    <row r="2" spans="1:3" x14ac:dyDescent="0.25">
      <c r="A2" t="s">
        <v>34</v>
      </c>
      <c r="B2">
        <v>3717</v>
      </c>
      <c r="C2">
        <v>28.6</v>
      </c>
    </row>
    <row r="3" spans="1:3" x14ac:dyDescent="0.25">
      <c r="A3" t="s">
        <v>35</v>
      </c>
      <c r="B3">
        <v>515</v>
      </c>
      <c r="C3">
        <v>4</v>
      </c>
    </row>
    <row r="4" spans="1:3" x14ac:dyDescent="0.25">
      <c r="A4" t="s">
        <v>36</v>
      </c>
      <c r="B4">
        <v>1434</v>
      </c>
      <c r="C4">
        <v>11</v>
      </c>
    </row>
    <row r="5" spans="1:3" x14ac:dyDescent="0.25">
      <c r="A5" t="s">
        <v>37</v>
      </c>
      <c r="B5">
        <v>2474</v>
      </c>
      <c r="C5">
        <v>19</v>
      </c>
    </row>
    <row r="6" spans="1:3" x14ac:dyDescent="0.25">
      <c r="A6" t="s">
        <v>38</v>
      </c>
      <c r="B6">
        <v>1220</v>
      </c>
      <c r="C6">
        <v>9.4</v>
      </c>
    </row>
    <row r="7" spans="1:3" x14ac:dyDescent="0.25">
      <c r="A7" t="s">
        <v>42</v>
      </c>
      <c r="B7">
        <v>6083</v>
      </c>
      <c r="C7">
        <v>46.7</v>
      </c>
    </row>
    <row r="8" spans="1:3" x14ac:dyDescent="0.25">
      <c r="A8" t="s">
        <v>43</v>
      </c>
      <c r="B8">
        <v>2860</v>
      </c>
      <c r="C8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topLeftCell="A3" workbookViewId="0">
      <selection activeCell="I16" sqref="I16"/>
    </sheetView>
  </sheetViews>
  <sheetFormatPr defaultRowHeight="15" x14ac:dyDescent="0.25"/>
  <cols>
    <col min="1" max="1" width="30.7109375" customWidth="1"/>
    <col min="2" max="9" width="18.7109375" customWidth="1"/>
  </cols>
  <sheetData>
    <row r="1" spans="1:9" x14ac:dyDescent="0.25">
      <c r="A1" s="5" t="s">
        <v>20</v>
      </c>
      <c r="B1" s="5" t="s">
        <v>21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spans="1:9" x14ac:dyDescent="0.25">
      <c r="A2" t="s">
        <v>44</v>
      </c>
      <c r="B2">
        <v>3420</v>
      </c>
      <c r="C2">
        <v>36.9</v>
      </c>
      <c r="D2">
        <v>6.3</v>
      </c>
      <c r="E2">
        <v>14.2</v>
      </c>
      <c r="F2">
        <v>28.7</v>
      </c>
      <c r="G2">
        <v>15.8</v>
      </c>
      <c r="H2">
        <v>60.8</v>
      </c>
      <c r="I2">
        <v>20.5</v>
      </c>
    </row>
    <row r="3" spans="1:9" x14ac:dyDescent="0.25">
      <c r="A3" t="s">
        <v>45</v>
      </c>
      <c r="B3">
        <v>9596</v>
      </c>
      <c r="C3">
        <v>25.6</v>
      </c>
      <c r="D3">
        <v>3.1</v>
      </c>
      <c r="E3">
        <v>9.9</v>
      </c>
      <c r="F3">
        <v>15.5</v>
      </c>
      <c r="G3">
        <v>7.1</v>
      </c>
      <c r="H3">
        <v>41.7</v>
      </c>
      <c r="I3">
        <v>22.5</v>
      </c>
    </row>
    <row r="6" spans="1:9" x14ac:dyDescent="0.25">
      <c r="A6" s="5" t="s">
        <v>20</v>
      </c>
      <c r="B6" s="5" t="s">
        <v>21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</row>
    <row r="7" spans="1:9" x14ac:dyDescent="0.25">
      <c r="A7" t="s">
        <v>46</v>
      </c>
      <c r="B7">
        <v>7164</v>
      </c>
      <c r="C7">
        <v>37.700000000000003</v>
      </c>
      <c r="D7">
        <v>5.5</v>
      </c>
      <c r="E7">
        <v>14.8</v>
      </c>
      <c r="F7">
        <v>29.3</v>
      </c>
      <c r="G7">
        <v>13.2</v>
      </c>
      <c r="H7">
        <v>61.2</v>
      </c>
      <c r="I7">
        <v>25.4</v>
      </c>
    </row>
    <row r="8" spans="1:9" x14ac:dyDescent="0.25">
      <c r="A8" t="s">
        <v>47</v>
      </c>
      <c r="B8">
        <v>5852</v>
      </c>
      <c r="C8">
        <v>17.399999999999999</v>
      </c>
      <c r="D8">
        <v>2.1</v>
      </c>
      <c r="E8">
        <v>6.4</v>
      </c>
      <c r="F8">
        <v>6.4</v>
      </c>
      <c r="G8">
        <v>4.7</v>
      </c>
      <c r="H8">
        <v>29.1</v>
      </c>
      <c r="I8">
        <v>17.8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5" x14ac:dyDescent="0.25"/>
  <cols>
    <col min="1" max="1" width="30.7109375" customWidth="1"/>
    <col min="2" max="2" width="14.7109375" customWidth="1"/>
    <col min="5" max="5" width="34.7109375" customWidth="1"/>
    <col min="6" max="6" width="14.7109375" customWidth="1"/>
  </cols>
  <sheetData>
    <row r="1" spans="1:6" x14ac:dyDescent="0.25">
      <c r="A1" s="5" t="s">
        <v>48</v>
      </c>
      <c r="B1" s="5" t="s">
        <v>21</v>
      </c>
      <c r="E1" s="5" t="s">
        <v>49</v>
      </c>
      <c r="F1" s="5" t="s">
        <v>21</v>
      </c>
    </row>
    <row r="2" spans="1:6" x14ac:dyDescent="0.25">
      <c r="A2">
        <v>0</v>
      </c>
      <c r="B2">
        <v>9596</v>
      </c>
      <c r="E2">
        <v>0</v>
      </c>
      <c r="F2">
        <v>6933</v>
      </c>
    </row>
    <row r="3" spans="1:6" x14ac:dyDescent="0.25">
      <c r="A3">
        <v>1</v>
      </c>
      <c r="B3">
        <v>2633</v>
      </c>
      <c r="E3">
        <v>1</v>
      </c>
      <c r="F3">
        <v>3640</v>
      </c>
    </row>
    <row r="4" spans="1:6" x14ac:dyDescent="0.25">
      <c r="A4">
        <v>2</v>
      </c>
      <c r="B4">
        <v>610</v>
      </c>
      <c r="E4">
        <v>2</v>
      </c>
      <c r="F4">
        <v>1767</v>
      </c>
    </row>
    <row r="5" spans="1:6" x14ac:dyDescent="0.25">
      <c r="A5">
        <v>3</v>
      </c>
      <c r="B5">
        <v>131</v>
      </c>
      <c r="E5">
        <v>3</v>
      </c>
      <c r="F5">
        <v>532</v>
      </c>
    </row>
    <row r="6" spans="1:6" x14ac:dyDescent="0.25">
      <c r="A6">
        <v>4</v>
      </c>
      <c r="B6">
        <v>36</v>
      </c>
      <c r="E6">
        <v>4</v>
      </c>
      <c r="F6">
        <v>130</v>
      </c>
    </row>
    <row r="7" spans="1:6" x14ac:dyDescent="0.25">
      <c r="A7">
        <v>5</v>
      </c>
      <c r="B7">
        <v>7</v>
      </c>
      <c r="E7">
        <v>5</v>
      </c>
      <c r="F7">
        <v>14</v>
      </c>
    </row>
    <row r="8" spans="1:6" x14ac:dyDescent="0.25">
      <c r="A8">
        <v>6</v>
      </c>
      <c r="B8">
        <v>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tabSelected="1" topLeftCell="A11" workbookViewId="0">
      <selection activeCell="K13" sqref="K13"/>
    </sheetView>
  </sheetViews>
  <sheetFormatPr defaultRowHeight="15" x14ac:dyDescent="0.25"/>
  <cols>
    <col min="1" max="1" width="28.7109375" customWidth="1"/>
    <col min="2" max="4" width="20.7109375" customWidth="1"/>
  </cols>
  <sheetData>
    <row r="1" spans="1:4" x14ac:dyDescent="0.25">
      <c r="A1" s="5" t="s">
        <v>20</v>
      </c>
      <c r="B1" s="5" t="s">
        <v>21</v>
      </c>
      <c r="C1" s="5" t="s">
        <v>39</v>
      </c>
      <c r="D1" s="5" t="s">
        <v>40</v>
      </c>
    </row>
    <row r="2" spans="1:4" x14ac:dyDescent="0.25">
      <c r="A2" t="s">
        <v>27</v>
      </c>
      <c r="B2">
        <v>973</v>
      </c>
      <c r="C2">
        <v>57.2</v>
      </c>
      <c r="D2">
        <v>15.7</v>
      </c>
    </row>
    <row r="3" spans="1:4" x14ac:dyDescent="0.25">
      <c r="A3" t="s">
        <v>33</v>
      </c>
      <c r="B3">
        <v>70</v>
      </c>
      <c r="C3">
        <v>42.9</v>
      </c>
      <c r="D3">
        <v>8.6</v>
      </c>
    </row>
    <row r="4" spans="1:4" x14ac:dyDescent="0.25">
      <c r="A4" t="s">
        <v>25</v>
      </c>
      <c r="B4">
        <v>1389</v>
      </c>
      <c r="C4">
        <v>62.2</v>
      </c>
      <c r="D4">
        <v>22</v>
      </c>
    </row>
    <row r="5" spans="1:4" x14ac:dyDescent="0.25">
      <c r="A5" t="s">
        <v>28</v>
      </c>
      <c r="B5">
        <v>736</v>
      </c>
      <c r="C5">
        <v>61.7</v>
      </c>
      <c r="D5">
        <v>19.3</v>
      </c>
    </row>
    <row r="6" spans="1:4" x14ac:dyDescent="0.25">
      <c r="A6" t="s">
        <v>32</v>
      </c>
      <c r="B6">
        <v>99</v>
      </c>
      <c r="C6">
        <v>55.6</v>
      </c>
      <c r="D6">
        <v>14.1</v>
      </c>
    </row>
    <row r="7" spans="1:4" x14ac:dyDescent="0.25">
      <c r="A7" t="s">
        <v>31</v>
      </c>
      <c r="B7">
        <v>106</v>
      </c>
      <c r="C7">
        <v>68.900000000000006</v>
      </c>
      <c r="D7">
        <v>28.3</v>
      </c>
    </row>
    <row r="8" spans="1:4" x14ac:dyDescent="0.25">
      <c r="A8" t="s">
        <v>30</v>
      </c>
      <c r="B8">
        <v>471</v>
      </c>
      <c r="C8">
        <v>77.3</v>
      </c>
      <c r="D8">
        <v>16.600000000000001</v>
      </c>
    </row>
    <row r="9" spans="1:4" x14ac:dyDescent="0.25">
      <c r="A9" t="s">
        <v>29</v>
      </c>
      <c r="B9">
        <v>599</v>
      </c>
      <c r="C9">
        <v>68.3</v>
      </c>
      <c r="D9">
        <v>16.7</v>
      </c>
    </row>
    <row r="10" spans="1:4" x14ac:dyDescent="0.25">
      <c r="A10" t="s">
        <v>23</v>
      </c>
      <c r="B10">
        <v>4134</v>
      </c>
      <c r="C10">
        <v>61.1</v>
      </c>
      <c r="D10">
        <v>23.5</v>
      </c>
    </row>
    <row r="11" spans="1:4" x14ac:dyDescent="0.25">
      <c r="A11" t="s">
        <v>24</v>
      </c>
      <c r="B11">
        <v>2456</v>
      </c>
      <c r="C11">
        <v>84.3</v>
      </c>
      <c r="D11">
        <v>32.200000000000003</v>
      </c>
    </row>
    <row r="12" spans="1:4" x14ac:dyDescent="0.25">
      <c r="A12" t="s">
        <v>26</v>
      </c>
      <c r="B12">
        <v>1128</v>
      </c>
      <c r="C12">
        <v>64.8</v>
      </c>
      <c r="D12">
        <v>22.4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Skills_per_Group</vt:lpstr>
      <vt:lpstr>Risk_Counts_by_Group</vt:lpstr>
      <vt:lpstr>Risk_Pct_by_Group</vt:lpstr>
      <vt:lpstr>Risk_Overall</vt:lpstr>
      <vt:lpstr>Sensitive_vs_Rest</vt:lpstr>
      <vt:lpstr>Distributions</vt:lpstr>
      <vt:lpstr>Safeguards_by_Group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2026-10-17T08:09:40Z</cp:lastPrinted>
  <dcterms:created xsi:type="dcterms:W3CDTF">2026-10-17T05:56:06Z</dcterms:created>
  <dcterms:modified xsi:type="dcterms:W3CDTF">2026-10-17T08:14:05Z</dcterms:modified>
</cp:coreProperties>
</file>